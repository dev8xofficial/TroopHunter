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<sst xmlns="http://schemas.openxmlformats.org/spreadsheetml/2006/main" count="113" uniqueCount="70">
  <si>
    <t>Name</t>
  </si>
  <si>
    <t>Remarks</t>
  </si>
  <si>
    <t>Pain Points</t>
  </si>
  <si>
    <t>Follow Up</t>
  </si>
  <si>
    <t>Email</t>
  </si>
  <si>
    <t>Phone</t>
  </si>
  <si>
    <t>Maps Url</t>
  </si>
  <si>
    <t>Facebook</t>
  </si>
  <si>
    <t>Instagram</t>
  </si>
  <si>
    <t>Website URL</t>
  </si>
  <si>
    <t>Terry's Place</t>
  </si>
  <si>
    <t>not reply</t>
  </si>
  <si>
    <t xml:space="preserve">zuppler pa menu hy ---  website hy --- not optmize </t>
  </si>
  <si>
    <t>https://www.google.com/maps/place/Terry's+Place/@29.2296046,-82.2389551,12z/data=!4m11!1m3!2m2!1srestaurents+near+Ocala,+FL,+USA!6e5!3m6!1s0x88e62cff83d7a45f:0xe3ff2bc4a1d043ad!8m2!3d29.2296046!4d-82.0865198!15sCh9yZXN0YXVyZW50cyBuZWFyIE9jYWxhLCBGTCwgVVNBWh8iHXJlc3RhdXJhbnRzIG5lYXIgb2NhbGEgZmwgdXNhkgEKcmVzdGF1cmFudOABAA!16s%2Fg%2F1tfv5yt9?entry=ttu&amp;g_ep=EgoyMDI1MDIxMi4wIKXMDSoASAFQAw%3D%3D</t>
  </si>
  <si>
    <t>Wolfy's of Ocala</t>
  </si>
  <si>
    <t xml:space="preserve">she is busy right now </t>
  </si>
  <si>
    <t xml:space="preserve">   </t>
  </si>
  <si>
    <t>https://www.google.com/maps/place/Wolfy's+of+Ocala/@29.1870991,-82.2611936,12z/data=!4m11!1m3!2m2!1srestaurents+near+Ocala,+FL,+USA!6e5!3m6!1s0x88e62cb4e1ec532d:0xf3b3673431134822!8m2!3d29.1870991!4d-82.1087583!15sCh9yZXN0YXVyZW50cyBuZWFyIE9jYWxhLCBGTCwgVVNBWh8iHXJlc3RhdXJhbnRzIG5lYXIgb2NhbGEgZmwgdXNhkgEKcmVzdGF1cmFudOABAA!16s%2Fg%2F1vxdz2c0?entry=ttu&amp;g_ep=EgoyMDI1MDIxMi4wIKXMDSoASAFQAw%3D%3D</t>
  </si>
  <si>
    <t>https://www.facebook.com/p/Wolfys-Restaurant-100061828725458/</t>
  </si>
  <si>
    <t>Big Hammock Brewery &amp; Bites</t>
  </si>
  <si>
    <t xml:space="preserve">monday off hy --- try on next day </t>
  </si>
  <si>
    <r>
      <rPr>
        <rFont val="Avenir"/>
        <color rgb="FF1155CC"/>
        <u/>
      </rPr>
      <t>https://www.google.com/maps/place/Big+Hammock+Brewery+%26+Bites/@29.17204</t>
    </r>
    <r>
      <rPr>
        <rFont val="Avenir"/>
      </rPr>
      <t>,-82.2847053,12z/data=!4m11!1m3!2m2!1srestaurents+near+Ocala,+FL,+USA!6e5!3m6!1s0x88e7d5fc32d6e42f:0x340994460ac4fd12!8m2!3d29.185324!4d-82.1359282!15sCh9yZXN0YXVyZW50cyBuZWFyIE9jYWxhLCBGTCwgVVNBWh8iHXJlc3RhdXJhbnRzIG5lYXIgb2NhbGEgZmwgdXNhkgEKcmVzdGF1cmFudOABAA!16s%2Fg%2F11h7ddxhxs?entry=ttu&amp;g_ep=EgoyMDI1MDIxMi4wIKXMDSoASAFQAw%3D%3</t>
    </r>
  </si>
  <si>
    <t>https://www.facebook.com/Big-Hammock-Brewery-Bites-100063579701301/</t>
  </si>
  <si>
    <t>Diner on the Square</t>
  </si>
  <si>
    <t xml:space="preserve">boss is not here right now -- call later </t>
  </si>
  <si>
    <t>https://www.google.com/maps/place/Diner+on+the+Square/@29.17204,-82.2847053,12z/data=!4m11!1m3!2m2!1srestaurents+near+Ocala,+FL,+USA!6e5!3m6!1s0x88e62b3185cab71b:0x12a6b19a0e3f8d86!8m2!3d29.1868735!4d-82.13367!15sCh9yZXN0YXVyZW50cyBuZWFyIE9jYWxhLCBGTCwgVVNBWh8iHXJlc3RhdXJhbnRzIG5lYXIgb2NhbGEgZmwgdXNhkgEKcmVzdGF1cmFudOABAA!16s%2Fg%2F11jwmxxpcc?entry=ttu&amp;g_ep=EgoyMDI1MDIxMi4wIKXMDSoASAFQAw%3D%3D</t>
  </si>
  <si>
    <t>Darrell's Diner</t>
  </si>
  <si>
    <t>1 352-732-4497</t>
  </si>
  <si>
    <t>https://www.google.com/maps/place/Darrell's+Diner/@29.1626917,-82.2441273,12z/data=!4m11!1m3!2m2!1srestaurents+near+Ocala,+FL,+USA!6e5!3m6!1s0x88e7d5b2aa52ec43:0x2a718b16fb0d2c4e!8m2!3d29.1784268!4d-82.1401314!15sCh9yZXN0YXVyZW50cyBuZWFyIE9jYWxhLCBGTCwgVVNBWh8iHXJlc3RhdXJhbnRzIG5lYXIgb2NhbGEgZmwgdXNhkgEKcmVzdGF1cmFudOABAA!16s%2Fg%2F11h1361b6f?entry=ttu&amp;g_ep=EgoyMDI1MDIxMi4wIKXMDSoASAFQAw%3D%3D</t>
  </si>
  <si>
    <t>https://www.facebook.com/p/Darrells-Dog-Gone-Good-Diner-on-south-pine-100060537888199/</t>
  </si>
  <si>
    <t>O'Malleys Alley</t>
  </si>
  <si>
    <t>https://www.google.com/maps/place/O'Malleys+Alley/@29.1397726,-82.3456616,12z/data=!4m11!1m3!2m2!1srestaurents+near+Ocala,+FL,+USA!6e5!3m6!1s0x88e7d4ad366a3c57:0x5ee9e598dd8a5d44!8m2!3d29.1865095!4d-82.1372886!15sCh9yZXN0YXVyZW50cyBuZWFyIE9jYWxhLCBGTCwgVVNBWh8iHXJlc3RhdXJhbnRzIG5lYXIgb2NhbGEgZmwgdXNhkgEDYmFy4AEA!16s%2Fg%2F1th0nqvx?entry=ttu&amp;g_ep=EgoyMDI1MDIxMi4wIKXMDSoASAFQAw%3D%3D</t>
  </si>
  <si>
    <t>https://www.facebook.com/omalleysalley/?_rdr</t>
  </si>
  <si>
    <t>Mama B's Diner</t>
  </si>
  <si>
    <t>https://www.google.com/maps/place/Mama+B's+Diner/@29.1397726,-82.3456616,12z/data=!4m11!1m3!2m2!1srestaurents+near+Ocala,+FL,+USA!6e5!3m6!1s0x88e879b906e0ef23:0xa598ddc276ff5bbf!8m2!3d29.0903835!4d-82.2466653!15sCh9yZXN0YXVyZW50cyBuZWFyIE9jYWxhLCBGTCwgVVNBWh8iHXJlc3RhdXJhbnRzIG5lYXIgb2NhbGEgZmwgdXNhkgETYW1lcmljYW5fcmVzdGF1cmFudOABAA!16s%2Fg%2F11rs9ls6t4?entry=ttu&amp;g_ep=EgoyMDI1MDIxMi4wIKXMDSoASAFQAw%3D%3D</t>
  </si>
  <si>
    <t>https://www.facebook.com/p/Mama-Bs-Diner-LLC-100070019017489/</t>
  </si>
  <si>
    <t>Protein Social</t>
  </si>
  <si>
    <t>https://www.google.com/maps/place/Protein+Social/@29.0816476,-82.4079649,12z/data=!4m11!1m3!2m2!1srestaurents+near+Ocala,+FL,+USA!6e5!3m6!1s0x88e7d52d9906a18f:0x30b538d3e8f0e2aa!8m2!3d29.157925!4d-82.1694972!15sCh9yZXN0YXVyZW50cyBuZWFyIE9jYWxhLCBGTCwgVVNBWh8iHXJlc3RhdXJhbnRzIG5lYXIgb2NhbGEgZmwgdXNhkgEWaGVhbHRoX2Zvb2RfcmVzdGF1cmFudOABAA!16s%2Fg%2F11jyc_g52c?entry=ttu&amp;g_ep=EgoyMDI1MDIxMi4wIKXMDSoASAFQAw%3D%3D</t>
  </si>
  <si>
    <t>https://www.facebook.com/p/Protein-Social-100088249548093/</t>
  </si>
  <si>
    <t>https://www.instagram.com/protein_social_352/?hl=en</t>
  </si>
  <si>
    <t>Hacienda colombiana #2</t>
  </si>
  <si>
    <t>https://www.google.com/maps/place/Hacienda+colombiana+%232/@29.2117497,-82.131439,17z/data=!4m11!1m3!2m2!1srestaurents+near+Ocala,+FL,+USA!6e5!3m6!1s0x88e62c9dc94cf799:0xf9e406c59adbfa00!8m2!3d29.2117497!4d-82.1266754!15sCh9yZXN0YXVyZW50cyBuZWFyIE9jYWxhLCBGTCwgVVNBWh8iHXJlc3RhdXJhbnRzIG5lYXIgb2NhbGEgZmwgdXNhkgEKcmVzdGF1cmFudOABAA!16s%2Fg%2F11c72r36d5?entry=ttu&amp;g_ep=EgoyMDI1MDIxMi4wIKXMDSoASAFQAw%3D%3D</t>
  </si>
  <si>
    <t>https://www.facebook.com/p/Hacienda-Colombiana-2-Ocala-100063554201319/</t>
  </si>
  <si>
    <t>Lp's Bar-B-Q</t>
  </si>
  <si>
    <t>https://www.google.com/maps/place/Lp's+Bar-B-Q/@29.1994878,-82.1498906,17z/data=!4m11!1m3!2m2!1srestaurents+near+Ocala,+FL,+USA!6e5!3m6!1s0x88e62b461bceaaab:0x1d39ff67a3a08510!8m2!3d29.1994878!4d-82.145127!15sCh9yZXN0YXVyZW50cyBuZWFyIE9jYWxhLCBGTCwgVVNBWh8iHXJlc3RhdXJhbnRzIG5lYXIgb2NhbGEgZmwgdXNhkgETYmFyYmVjdWVfcmVzdGF1cmFudOABAA!16s%2Fg%2F11hy9nm9ks?entry=ttu&amp;g_ep=EgoyMDI1MDIxMi4wIKXMDSoASAFQAw%3D%3D</t>
  </si>
  <si>
    <t>https://www.facebook.com/p/LPS-BAR-BQ-100054199553580/</t>
  </si>
  <si>
    <t>Taco 'N Madre</t>
  </si>
  <si>
    <t>https://www.google.com/maps/place/Taco+'N+Madre/@29.1876152,-82.145514,17z/data=!4m11!1m3!2m2!1srestaurents+near+Ocala,+FL,+USA!6e5!3m6!1s0x88e62b4d2e37499b:0x6ca05c52a1cf021f!8m2!3d29.1876152!4d-82.1407504!15sCh9yZXN0YXVyZW50cyBuZWFyIE9jYWxhLCBGTCwgVVNBWh8iHXJlc3RhdXJhbnRzIG5lYXIgb2NhbGEgZmwgdXNhkgESbWV4aWNhbl9yZXN0YXVyYW504AEA!16s%2Fg%2F1tdcmsqh?entry=ttu&amp;g_ep=EgoyMDI1MDIxMi4wIKXMDSoASAFQAw%3D%3D</t>
  </si>
  <si>
    <r>
      <rPr>
        <rFont val="Avenir"/>
        <color rgb="FF1155CC"/>
        <u/>
      </rPr>
      <t>https://www.google.com/maps/place/Big+Hammock+Brewery+%26+Bites/@29.17204</t>
    </r>
    <r>
      <rPr>
        <rFont val="Avenir"/>
      </rPr>
      <t>,-82.2847053,12z/data=!4m11!1m3!2m2!1srestaurents+near+Ocala,+FL,+USA!6e5!3m6!1s0x88e7d5fc32d6e42f:0x340994460ac4fd12!8m2!3d29.185324!4d-82.1359282!15sCh9yZXN0YXVyZW50cyBuZWFyIE9jYWxhLCBGTCwgVVNBWh8iHXJlc3RhdXJhbnRzIG5lYXIgb2NhbGEgZmwgdXNhkgEKcmVzdGF1cmFudOABAA!16s%2Fg%2F11h7ddxhxs?entry=ttu&amp;g_ep=EgoyMDI1MDIxMi4wIKXMDSoASAFQAw%3D%3</t>
    </r>
  </si>
  <si>
    <t xml:space="preserve">boss is not her right now -- call later </t>
  </si>
  <si>
    <t>Greenberg Dental &amp; Orthodontics</t>
  </si>
  <si>
    <t>wesite h but optimize hony wali h</t>
  </si>
  <si>
    <t>https://www.google.com/maps/place/Greenberg+Dental+%26+Orthodontics/@29.159942,-82.2524572,13z/data=!4m11!1m3!2m2!1sdental+care++in+ocala+orlando!6e1!3m6!1s0x88e7d51c035f201d:0x7f43cc34ec92d435!8m2!3d29.159942!4d-82.1762395!15sCh1kZW50YWwgY2FyZSAgaW4gb2NhbGEgb3JsYW5kb5IBB2RlbnRpc3TgAQA!16s%2Fg%2F11dym65qsk?entry=ttu&amp;g_ep=EgoyMDI1MDIxMi4wIKXMDSoASAFQAw%3D%3D</t>
  </si>
  <si>
    <t>https://www.greenbergdental.com/</t>
  </si>
  <si>
    <t>Marion Dental Group</t>
  </si>
  <si>
    <t>https://mariondentalgroup.com/</t>
  </si>
  <si>
    <t>Las Lomas Mexican grill</t>
  </si>
  <si>
    <t>nhi h</t>
  </si>
  <si>
    <t>https://www.google.com/maps/place/Las+Lomas+Mexican+grill/@28.6625752,-81.367615,17z/data=!4m11!1m3!2m2!1srestaurants+in+Fern+Park,+FL,+USA!6e5!3m6!1s0x88e7714ee9440f05:0xc3d6a398995a1177!8m2!3d28.6625752!4d-81.3628514!15sCiFyZXN0YXVyYW50cyBpbiBGZXJuIFBhcmssIEZMLCBVU0FaISIfcmVzdGF1cmFudHMgaW4gZmVybiBwYXJrIGZsIHVzYZIBEm1leGljYW5fcmVzdGF1cmFudOABAA!16s%2Fg%2F11nnnmp0vj?entry=ttu&amp;g_ep=EgoyMDI1MDIxMi4wIKXMDSoASAFQAw%3D%3D</t>
  </si>
  <si>
    <t>https://www.facebook.com/LasLomasMexicanGri11</t>
  </si>
  <si>
    <t>https://www.instagram.com/las_lomas_mexican_grill/</t>
  </si>
  <si>
    <t>Manhatthan cafe orlando</t>
  </si>
  <si>
    <t>https://www.google.com/maps/place/Manhatthan+cafe+orlando/@28.4896377,-81.3240255,14z/data=!4m10!1m2!2m1!1srestaurants+in+Goldenrod,+FL,+USA!3m6!1s0x88e7658ea89dd7bf:0x1e46e1c173fd3216!8m2!3d28.4896377!4d-81.2859167!15sCiFyZXN0YXVyYW50cyBpbiBHb2xkZW5yb2QsIEZMLCBVU0FaISIfcmVzdGF1cmFudHMgaW4gZ29sZGVucm9kIGZsIHVzYZIBF251ZXZvX2xhdGlub19yZXN0YXVyYW504AEA!16s%2Fg%2F11q_lkfpc4?entry=ttu&amp;g_ep=EgoyMDI1MDIxMi4wIKXMDSoASAFQAw%3D%3D</t>
  </si>
  <si>
    <t>https://www.facebook.com/ManhattancafeOrlandoPR</t>
  </si>
  <si>
    <t>https://www.instagram.com/manhattancafeorlando/?hl=en</t>
  </si>
  <si>
    <t>La Carambola Restaurante</t>
  </si>
  <si>
    <t>https://www.google.com/maps/place/La+Carambola+Restaurante/@28.5840152,-81.324818,14z/data=!4m11!1m3!2m2!1srestaurants+in+Goldenrod,+FL,+USA!6e5!3m6!1s0x88e76f7c94bb64fd:0x375bd60b964b3fca!8m2!3d28.5840152!4d-81.2867092!15sCiFyZXN0YXVyYW50cyBpbiBHb2xkZW5yb2QsIEZMLCBVU0FaISIfcmVzdGF1cmFudHMgaW4gZ29sZGVucm9kIGZsIHVzYZIBGWxhdGluX2FtZXJpY2FuX3Jlc3RhdXJhbnTgAQA!16s%2Fg%2F113hqzq32?entry=ttu&amp;g_ep=EgoyMDI1MDIxMi4wIKXMDSoASAFQAw%3D%3D</t>
  </si>
  <si>
    <t>https://www.instagram.com/explore/locations/16445725/la-carambola-night-club/?hl=en</t>
  </si>
  <si>
    <t>Ceviche Central</t>
  </si>
  <si>
    <t>https://www.google.com/maps/place/Ceviche+Central/@28.5936981,-81.3710361,14z/data=!4m11!1m3!2m2!1srestaurants+in+Goldenrod,+FL,+USA!6e5!3m6!1s0x88e770055d9faaab:0xc2da146e6a35c4f2!8m2!3d28.5936981!4d-81.3504367!15sCiFyZXN0YXVyYW50cyBpbiBHb2xkZW5yb2QsIEZMLCBVU0FaISIfcmVzdGF1cmFudHMgaW4gZ29sZGVucm9kIGZsIHVzYZIBCnJlc3RhdXJhbnTgAQA!16s%2Fg%2F11ybv_yq3n?entry=ttu&amp;g_ep=EgoyMDI1MDIxMi4wIKXMDSoASAFQAw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</si>
</sst>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venir"/>
    </font>
    <font>
      <color theme="1"/>
      <name val="Arial"/>
    </font>
    <font>
      <u/>
      <color rgb="FF0000FF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85" displayName="Table1" name="Table1" id="1">
  <tableColumns count="10">
    <tableColumn name="Name" id="1"/>
    <tableColumn name="Remarks" id="2"/>
    <tableColumn name="Pain Points" id="3"/>
    <tableColumn name="Follow Up" id="4"/>
    <tableColumn name="Email" id="5"/>
    <tableColumn name="Phone" id="6"/>
    <tableColumn name="Maps Url" id="7"/>
    <tableColumn name="Facebook" id="8"/>
    <tableColumn name="Instagram" id="9"/>
    <tableColumn name="Website URL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Taco+'N+Madre/@29.1876152,-82.145514,17z/data=!4m11!1m3!2m2!1srestaurents+near+Ocala,+FL,+USA!6e5!3m6!1s0x88e62b4d2e37499b:0x6ca05c52a1cf021f!8m2!3d29.1876152!4d-82.1407504!15sCh9yZXN0YXVyZW50cyBuZWFyIE9jYWxhLCBGTCwgVVNBWh8iHXJlc3RhdXJhbnRzIG5lYXIgb2NhbGEgZmwgdXNhkgESbWV4aWNhbl9yZXN0YXVyYW504AEA!16s%2Fg%2F1tdcmsqh?entry=ttu&amp;g_ep=EgoyMDI1MDIxMi4wIKXMDSoASAFQAw%3D%3D" TargetMode="External"/><Relationship Id="rId42" Type="http://schemas.openxmlformats.org/officeDocument/2006/relationships/hyperlink" Target="https://www.greenbergdental.com/" TargetMode="External"/><Relationship Id="rId41" Type="http://schemas.openxmlformats.org/officeDocument/2006/relationships/hyperlink" Target="https://www.google.com/maps/place/Greenberg+Dental+%26+Orthodontics/@29.159942,-82.2524572,13z/data=!4m11!1m3!2m2!1sdental+care++in+ocala+orlando!6e1!3m6!1s0x88e7d51c035f201d:0x7f43cc34ec92d435!8m2!3d29.159942!4d-82.1762395!15sCh1kZW50YWwgY2FyZSAgaW4gb2NhbGEgb3JsYW5kb5IBB2RlbnRpc3TgAQA!16s%2Fg%2F11dym65qsk?entry=ttu&amp;g_ep=EgoyMDI1MDIxMi4wIKXMDSoASAFQAw%3D%3D" TargetMode="External"/><Relationship Id="rId44" Type="http://schemas.openxmlformats.org/officeDocument/2006/relationships/hyperlink" Target="https://mariondentalgroup.com/" TargetMode="External"/><Relationship Id="rId43" Type="http://schemas.openxmlformats.org/officeDocument/2006/relationships/hyperlink" Target="https://www.google.com/maps/place/Greenberg+Dental+%26+Orthodontics/@29.159942,-82.2524572,13z/data=!4m11!1m3!2m2!1sdental+care++in+ocala+orlando!6e1!3m6!1s0x88e7d51c035f201d:0x7f43cc34ec92d435!8m2!3d29.159942!4d-82.1762395!15sCh1kZW50YWwgY2FyZSAgaW4gb2NhbGEgb3JsYW5kb5IBB2RlbnRpc3TgAQA!16s%2Fg%2F11dym65qsk?entry=ttu&amp;g_ep=EgoyMDI1MDIxMi4wIKXMDSoASAFQAw%3D%3D" TargetMode="External"/><Relationship Id="rId46" Type="http://schemas.openxmlformats.org/officeDocument/2006/relationships/hyperlink" Target="https://www.facebook.com/LasLomasMexicanGri11" TargetMode="External"/><Relationship Id="rId45" Type="http://schemas.openxmlformats.org/officeDocument/2006/relationships/hyperlink" Target="https://www.google.com/maps/place/Las+Lomas+Mexican+grill/@28.6625752,-81.367615,17z/data=!4m11!1m3!2m2!1srestaurants+in+Fern+Park,+FL,+USA!6e5!3m6!1s0x88e7714ee9440f05:0xc3d6a398995a1177!8m2!3d28.6625752!4d-81.3628514!15sCiFyZXN0YXVyYW50cyBpbiBGZXJuIFBhcmssIEZMLCBVU0FaISIfcmVzdGF1cmFudHMgaW4gZmVybiBwYXJrIGZsIHVzYZIBEm1leGljYW5fcmVzdGF1cmFudOABAA!16s%2Fg%2F11nnnmp0vj?entry=ttu&amp;g_ep=EgoyMDI1MDIxMi4wIKXMDSoASAFQAw%3D%3D" TargetMode="External"/><Relationship Id="rId1" Type="http://schemas.openxmlformats.org/officeDocument/2006/relationships/hyperlink" Target="https://www.google.com/maps/place/Terry's+Place/@29.2296046,-82.2389551,12z/data=!4m11!1m3!2m2!1srestaurents+near+Ocala,+FL,+USA!6e5!3m6!1s0x88e62cff83d7a45f:0xe3ff2bc4a1d043ad!8m2!3d29.2296046!4d-82.0865198!15sCh9yZXN0YXVyZW50cyBuZWFyIE9jYWxhLCBGTCwgVVNBWh8iHXJlc3RhdXJhbnRzIG5lYXIgb2NhbGEgZmwgdXNhkgEKcmVzdGF1cmFudOABAA!16s%2Fg%2F1tfv5yt9?entry=ttu&amp;g_ep=EgoyMDI1MDIxMi4wIKXMDSoASAFQAw%3D%3D" TargetMode="External"/><Relationship Id="rId2" Type="http://schemas.openxmlformats.org/officeDocument/2006/relationships/hyperlink" Target="https://www.google.com/maps/place/Wolfy's+of+Ocala/@29.1870991,-82.2611936,12z/data=!4m11!1m3!2m2!1srestaurents+near+Ocala,+FL,+USA!6e5!3m6!1s0x88e62cb4e1ec532d:0xf3b3673431134822!8m2!3d29.1870991!4d-82.1087583!15sCh9yZXN0YXVyZW50cyBuZWFyIE9jYWxhLCBGTCwgVVNBWh8iHXJlc3RhdXJhbnRzIG5lYXIgb2NhbGEgZmwgdXNhkgEKcmVzdGF1cmFudOABAA!16s%2Fg%2F1vxdz2c0?entry=ttu&amp;g_ep=EgoyMDI1MDIxMi4wIKXMDSoASAFQAw%3D%3D" TargetMode="External"/><Relationship Id="rId3" Type="http://schemas.openxmlformats.org/officeDocument/2006/relationships/hyperlink" Target="https://www.facebook.com/p/Wolfys-Restaurant-100061828725458/" TargetMode="External"/><Relationship Id="rId4" Type="http://schemas.openxmlformats.org/officeDocument/2006/relationships/hyperlink" Target="https://www.google.com/maps/place/Big+Hammock+Brewery+%26+Bites/@29.17204" TargetMode="External"/><Relationship Id="rId9" Type="http://schemas.openxmlformats.org/officeDocument/2006/relationships/hyperlink" Target="https://www.google.com/maps/place/O'Malleys+Alley/@29.1397726,-82.3456616,12z/data=!4m11!1m3!2m2!1srestaurents+near+Ocala,+FL,+USA!6e5!3m6!1s0x88e7d4ad366a3c57:0x5ee9e598dd8a5d44!8m2!3d29.1865095!4d-82.1372886!15sCh9yZXN0YXVyZW50cyBuZWFyIE9jYWxhLCBGTCwgVVNBWh8iHXJlc3RhdXJhbnRzIG5lYXIgb2NhbGEgZmwgdXNhkgEDYmFy4AEA!16s%2Fg%2F1th0nqvx?entry=ttu&amp;g_ep=EgoyMDI1MDIxMi4wIKXMDSoASAFQAw%3D%3D" TargetMode="External"/><Relationship Id="rId48" Type="http://schemas.openxmlformats.org/officeDocument/2006/relationships/hyperlink" Target="https://www.google.com/maps/place/Manhatthan+cafe+orlando/@28.4896377,-81.3240255,14z/data=!4m10!1m2!2m1!1srestaurants+in+Goldenrod,+FL,+USA!3m6!1s0x88e7658ea89dd7bf:0x1e46e1c173fd3216!8m2!3d28.4896377!4d-81.2859167!15sCiFyZXN0YXVyYW50cyBpbiBHb2xkZW5yb2QsIEZMLCBVU0FaISIfcmVzdGF1cmFudHMgaW4gZ29sZGVucm9kIGZsIHVzYZIBF251ZXZvX2xhdGlub19yZXN0YXVyYW504AEA!16s%2Fg%2F11q_lkfpc4?entry=ttu&amp;g_ep=EgoyMDI1MDIxMi4wIKXMDSoASAFQAw%3D%3D" TargetMode="External"/><Relationship Id="rId47" Type="http://schemas.openxmlformats.org/officeDocument/2006/relationships/hyperlink" Target="https://www.instagram.com/las_lomas_mexican_grill/" TargetMode="External"/><Relationship Id="rId49" Type="http://schemas.openxmlformats.org/officeDocument/2006/relationships/hyperlink" Target="https://www.facebook.com/ManhattancafeOrlandoPR" TargetMode="External"/><Relationship Id="rId5" Type="http://schemas.openxmlformats.org/officeDocument/2006/relationships/hyperlink" Target="https://www.facebook.com/Big-Hammock-Brewery-Bites-100063579701301/" TargetMode="External"/><Relationship Id="rId6" Type="http://schemas.openxmlformats.org/officeDocument/2006/relationships/hyperlink" Target="https://www.google.com/maps/place/Diner+on+the+Square/@29.17204,-82.2847053,12z/data=!4m11!1m3!2m2!1srestaurents+near+Ocala,+FL,+USA!6e5!3m6!1s0x88e62b3185cab71b:0x12a6b19a0e3f8d86!8m2!3d29.1868735!4d-82.13367!15sCh9yZXN0YXVyZW50cyBuZWFyIE9jYWxhLCBGTCwgVVNBWh8iHXJlc3RhdXJhbnRzIG5lYXIgb2NhbGEgZmwgdXNhkgEKcmVzdGF1cmFudOABAA!16s%2Fg%2F11jwmxxpcc?entry=ttu&amp;g_ep=EgoyMDI1MDIxMi4wIKXMDSoASAFQAw%3D%3D" TargetMode="External"/><Relationship Id="rId7" Type="http://schemas.openxmlformats.org/officeDocument/2006/relationships/hyperlink" Target="https://www.google.com/maps/place/Darrell's+Diner/@29.1626917,-82.2441273,12z/data=!4m11!1m3!2m2!1srestaurents+near+Ocala,+FL,+USA!6e5!3m6!1s0x88e7d5b2aa52ec43:0x2a718b16fb0d2c4e!8m2!3d29.1784268!4d-82.1401314!15sCh9yZXN0YXVyZW50cyBuZWFyIE9jYWxhLCBGTCwgVVNBWh8iHXJlc3RhdXJhbnRzIG5lYXIgb2NhbGEgZmwgdXNhkgEKcmVzdGF1cmFudOABAA!16s%2Fg%2F11h1361b6f?entry=ttu&amp;g_ep=EgoyMDI1MDIxMi4wIKXMDSoASAFQAw%3D%3D" TargetMode="External"/><Relationship Id="rId8" Type="http://schemas.openxmlformats.org/officeDocument/2006/relationships/hyperlink" Target="https://www.facebook.com/p/Darrells-Dog-Gone-Good-Diner-on-south-pine-100060537888199/" TargetMode="External"/><Relationship Id="rId31" Type="http://schemas.openxmlformats.org/officeDocument/2006/relationships/hyperlink" Target="https://www.google.com/maps/place/Mama+B's+Diner/@29.1397726,-82.3456616,12z/data=!4m11!1m3!2m2!1srestaurents+near+Ocala,+FL,+USA!6e5!3m6!1s0x88e879b906e0ef23:0xa598ddc276ff5bbf!8m2!3d29.0903835!4d-82.2466653!15sCh9yZXN0YXVyZW50cyBuZWFyIE9jYWxhLCBGTCwgVVNBWh8iHXJlc3RhdXJhbnRzIG5lYXIgb2NhbGEgZmwgdXNhkgETYW1lcmljYW5fcmVzdGF1cmFudOABAA!16s%2Fg%2F11rs9ls6t4?entry=ttu&amp;g_ep=EgoyMDI1MDIxMi4wIKXMDSoASAFQAw%3D%3D" TargetMode="External"/><Relationship Id="rId30" Type="http://schemas.openxmlformats.org/officeDocument/2006/relationships/hyperlink" Target="https://www.facebook.com/omalleysalley/?_rdr" TargetMode="External"/><Relationship Id="rId33" Type="http://schemas.openxmlformats.org/officeDocument/2006/relationships/hyperlink" Target="https://www.google.com/maps/place/Protein+Social/@29.0816476,-82.4079649,12z/data=!4m11!1m3!2m2!1srestaurents+near+Ocala,+FL,+USA!6e5!3m6!1s0x88e7d52d9906a18f:0x30b538d3e8f0e2aa!8m2!3d29.157925!4d-82.1694972!15sCh9yZXN0YXVyZW50cyBuZWFyIE9jYWxhLCBGTCwgVVNBWh8iHXJlc3RhdXJhbnRzIG5lYXIgb2NhbGEgZmwgdXNhkgEWaGVhbHRoX2Zvb2RfcmVzdGF1cmFudOABAA!16s%2Fg%2F11jyc_g52c?entry=ttu&amp;g_ep=EgoyMDI1MDIxMi4wIKXMDSoASAFQAw%3D%3D" TargetMode="External"/><Relationship Id="rId32" Type="http://schemas.openxmlformats.org/officeDocument/2006/relationships/hyperlink" Target="https://www.facebook.com/p/Mama-Bs-Diner-LLC-100070019017489/" TargetMode="External"/><Relationship Id="rId35" Type="http://schemas.openxmlformats.org/officeDocument/2006/relationships/hyperlink" Target="https://www.instagram.com/protein_social_352/?hl=en" TargetMode="External"/><Relationship Id="rId34" Type="http://schemas.openxmlformats.org/officeDocument/2006/relationships/hyperlink" Target="https://www.facebook.com/p/Protein-Social-100088249548093/" TargetMode="External"/><Relationship Id="rId37" Type="http://schemas.openxmlformats.org/officeDocument/2006/relationships/hyperlink" Target="https://www.facebook.com/p/Hacienda-Colombiana-2-Ocala-100063554201319/" TargetMode="External"/><Relationship Id="rId36" Type="http://schemas.openxmlformats.org/officeDocument/2006/relationships/hyperlink" Target="https://www.google.com/maps/place/Hacienda+colombiana+%232/@29.2117497,-82.131439,17z/data=!4m11!1m3!2m2!1srestaurents+near+Ocala,+FL,+USA!6e5!3m6!1s0x88e62c9dc94cf799:0xf9e406c59adbfa00!8m2!3d29.2117497!4d-82.1266754!15sCh9yZXN0YXVyZW50cyBuZWFyIE9jYWxhLCBGTCwgVVNBWh8iHXJlc3RhdXJhbnRzIG5lYXIgb2NhbGEgZmwgdXNhkgEKcmVzdGF1cmFudOABAA!16s%2Fg%2F11c72r36d5?entry=ttu&amp;g_ep=EgoyMDI1MDIxMi4wIKXMDSoASAFQAw%3D%3D" TargetMode="External"/><Relationship Id="rId39" Type="http://schemas.openxmlformats.org/officeDocument/2006/relationships/hyperlink" Target="https://www.facebook.com/p/LPS-BAR-BQ-100054199553580/" TargetMode="External"/><Relationship Id="rId38" Type="http://schemas.openxmlformats.org/officeDocument/2006/relationships/hyperlink" Target="https://www.google.com/maps/place/Lp's+Bar-B-Q/@29.1994878,-82.1498906,17z/data=!4m11!1m3!2m2!1srestaurents+near+Ocala,+FL,+USA!6e5!3m6!1s0x88e62b461bceaaab:0x1d39ff67a3a08510!8m2!3d29.1994878!4d-82.145127!15sCh9yZXN0YXVyZW50cyBuZWFyIE9jYWxhLCBGTCwgVVNBWh8iHXJlc3RhdXJhbnRzIG5lYXIgb2NhbGEgZmwgdXNhkgETYmFyYmVjdWVfcmVzdGF1cmFudOABAA!16s%2Fg%2F11hy9nm9ks?entry=ttu&amp;g_ep=EgoyMDI1MDIxMi4wIKXMDSoASAFQAw%3D%3D" TargetMode="External"/><Relationship Id="rId20" Type="http://schemas.openxmlformats.org/officeDocument/2006/relationships/hyperlink" Target="https://www.google.com/maps/place/Taco+'N+Madre/@29.1876152,-82.145514,17z/data=!4m11!1m3!2m2!1srestaurents+near+Ocala,+FL,+USA!6e5!3m6!1s0x88e62b4d2e37499b:0x6ca05c52a1cf021f!8m2!3d29.1876152!4d-82.1407504!15sCh9yZXN0YXVyZW50cyBuZWFyIE9jYWxhLCBGTCwgVVNBWh8iHXJlc3RhdXJhbnRzIG5lYXIgb2NhbGEgZmwgdXNhkgESbWV4aWNhbl9yZXN0YXVyYW504AEA!16s%2Fg%2F1tdcmsqh?entry=ttu&amp;g_ep=EgoyMDI1MDIxMi4wIKXMDSoASAFQAw%3D%3D" TargetMode="External"/><Relationship Id="rId22" Type="http://schemas.openxmlformats.org/officeDocument/2006/relationships/hyperlink" Target="https://www.google.com/maps/place/Wolfy's+of+Ocala/@29.1870991,-82.2611936,12z/data=!4m11!1m3!2m2!1srestaurents+near+Ocala,+FL,+USA!6e5!3m6!1s0x88e62cb4e1ec532d:0xf3b3673431134822!8m2!3d29.1870991!4d-82.1087583!15sCh9yZXN0YXVyZW50cyBuZWFyIE9jYWxhLCBGTCwgVVNBWh8iHXJlc3RhdXJhbnRzIG5lYXIgb2NhbGEgZmwgdXNhkgEKcmVzdGF1cmFudOABAA!16s%2Fg%2F1vxdz2c0?entry=ttu&amp;g_ep=EgoyMDI1MDIxMi4wIKXMDSoASAFQAw%3D%3D" TargetMode="External"/><Relationship Id="rId21" Type="http://schemas.openxmlformats.org/officeDocument/2006/relationships/hyperlink" Target="https://www.google.com/maps/place/Terry's+Place/@29.2296046,-82.2389551,12z/data=!4m11!1m3!2m2!1srestaurents+near+Ocala,+FL,+USA!6e5!3m6!1s0x88e62cff83d7a45f:0xe3ff2bc4a1d043ad!8m2!3d29.2296046!4d-82.0865198!15sCh9yZXN0YXVyZW50cyBuZWFyIE9jYWxhLCBGTCwgVVNBWh8iHXJlc3RhdXJhbnRzIG5lYXIgb2NhbGEgZmwgdXNhkgEKcmVzdGF1cmFudOABAA!16s%2Fg%2F1tfv5yt9?entry=ttu&amp;g_ep=EgoyMDI1MDIxMi4wIKXMDSoASAFQAw%3D%3D" TargetMode="External"/><Relationship Id="rId24" Type="http://schemas.openxmlformats.org/officeDocument/2006/relationships/hyperlink" Target="https://www.google.com/maps/place/Big+Hammock+Brewery+%26+Bites/@29.17204" TargetMode="External"/><Relationship Id="rId23" Type="http://schemas.openxmlformats.org/officeDocument/2006/relationships/hyperlink" Target="https://www.facebook.com/p/Wolfys-Restaurant-100061828725458/" TargetMode="External"/><Relationship Id="rId26" Type="http://schemas.openxmlformats.org/officeDocument/2006/relationships/hyperlink" Target="https://www.google.com/maps/place/Diner+on+the+Square/@29.17204,-82.2847053,12z/data=!4m11!1m3!2m2!1srestaurents+near+Ocala,+FL,+USA!6e5!3m6!1s0x88e62b3185cab71b:0x12a6b19a0e3f8d86!8m2!3d29.1868735!4d-82.13367!15sCh9yZXN0YXVyZW50cyBuZWFyIE9jYWxhLCBGTCwgVVNBWh8iHXJlc3RhdXJhbnRzIG5lYXIgb2NhbGEgZmwgdXNhkgEKcmVzdGF1cmFudOABAA!16s%2Fg%2F11jwmxxpcc?entry=ttu&amp;g_ep=EgoyMDI1MDIxMi4wIKXMDSoASAFQAw%3D%3D" TargetMode="External"/><Relationship Id="rId25" Type="http://schemas.openxmlformats.org/officeDocument/2006/relationships/hyperlink" Target="https://www.facebook.com/Big-Hammock-Brewery-Bites-100063579701301/" TargetMode="External"/><Relationship Id="rId28" Type="http://schemas.openxmlformats.org/officeDocument/2006/relationships/hyperlink" Target="https://www.facebook.com/p/Darrells-Dog-Gone-Good-Diner-on-south-pine-100060537888199/" TargetMode="External"/><Relationship Id="rId27" Type="http://schemas.openxmlformats.org/officeDocument/2006/relationships/hyperlink" Target="https://www.google.com/maps/place/Darrell's+Diner/@29.1626917,-82.2441273,12z/data=!4m11!1m3!2m2!1srestaurents+near+Ocala,+FL,+USA!6e5!3m6!1s0x88e7d5b2aa52ec43:0x2a718b16fb0d2c4e!8m2!3d29.1784268!4d-82.1401314!15sCh9yZXN0YXVyZW50cyBuZWFyIE9jYWxhLCBGTCwgVVNBWh8iHXJlc3RhdXJhbnRzIG5lYXIgb2NhbGEgZmwgdXNhkgEKcmVzdGF1cmFudOABAA!16s%2Fg%2F11h1361b6f?entry=ttu&amp;g_ep=EgoyMDI1MDIxMi4wIKXMDSoASAFQAw%3D%3D" TargetMode="External"/><Relationship Id="rId29" Type="http://schemas.openxmlformats.org/officeDocument/2006/relationships/hyperlink" Target="https://www.google.com/maps/place/O'Malleys+Alley/@29.1397726,-82.3456616,12z/data=!4m11!1m3!2m2!1srestaurents+near+Ocala,+FL,+USA!6e5!3m6!1s0x88e7d4ad366a3c57:0x5ee9e598dd8a5d44!8m2!3d29.1865095!4d-82.1372886!15sCh9yZXN0YXVyZW50cyBuZWFyIE9jYWxhLCBGTCwgVVNBWh8iHXJlc3RhdXJhbnRzIG5lYXIgb2NhbGEgZmwgdXNhkgEDYmFy4AEA!16s%2Fg%2F1th0nqvx?entry=ttu&amp;g_ep=EgoyMDI1MDIxMi4wIKXMDSoASAFQAw%3D%3D" TargetMode="External"/><Relationship Id="rId51" Type="http://schemas.openxmlformats.org/officeDocument/2006/relationships/hyperlink" Target="https://www.google.com/maps/place/La+Carambola+Restaurante/@28.5840152,-81.324818,14z/data=!4m11!1m3!2m2!1srestaurants+in+Goldenrod,+FL,+USA!6e5!3m6!1s0x88e76f7c94bb64fd:0x375bd60b964b3fca!8m2!3d28.5840152!4d-81.2867092!15sCiFyZXN0YXVyYW50cyBpbiBHb2xkZW5yb2QsIEZMLCBVU0FaISIfcmVzdGF1cmFudHMgaW4gZ29sZGVucm9kIGZsIHVzYZIBGWxhdGluX2FtZXJpY2FuX3Jlc3RhdXJhbnTgAQA!16s%2Fg%2F113hqzq32?entry=ttu&amp;g_ep=EgoyMDI1MDIxMi4wIKXMDSoASAFQAw%3D%3D" TargetMode="External"/><Relationship Id="rId50" Type="http://schemas.openxmlformats.org/officeDocument/2006/relationships/hyperlink" Target="https://www.instagram.com/manhattancafeorlando/?hl=en" TargetMode="External"/><Relationship Id="rId53" Type="http://schemas.openxmlformats.org/officeDocument/2006/relationships/hyperlink" Target="https://www.google.com/maps/place/Ceviche+Central/@28.5936981,-81.3710361,14z/data=!4m11!1m3!2m2!1srestaurants+in+Goldenrod,+FL,+USA!6e5!3m6!1s0x88e770055d9faaab:0xc2da146e6a35c4f2!8m2!3d28.5936981!4d-81.3504367!15sCiFyZXN0YXVyYW50cyBpbiBHb2xkZW5yb2QsIEZMLCBVU0FaISIfcmVzdGF1cmFudHMgaW4gZ29sZGVucm9kIGZsIHVzYZIBCnJlc3RhdXJhbnTgAQA!16s%2Fg%2F11ybv_yq3n?entry=ttu&amp;g_ep=EgoyMDI1MDIxMi4wIKXMDSoASAFQAw%3D%3D" TargetMode="External"/><Relationship Id="rId52" Type="http://schemas.openxmlformats.org/officeDocument/2006/relationships/hyperlink" Target="https://www.instagram.com/explore/locations/16445725/la-carambola-night-club/?hl=en" TargetMode="External"/><Relationship Id="rId11" Type="http://schemas.openxmlformats.org/officeDocument/2006/relationships/hyperlink" Target="https://www.google.com/maps/place/Mama+B's+Diner/@29.1397726,-82.3456616,12z/data=!4m11!1m3!2m2!1srestaurents+near+Ocala,+FL,+USA!6e5!3m6!1s0x88e879b906e0ef23:0xa598ddc276ff5bbf!8m2!3d29.0903835!4d-82.2466653!15sCh9yZXN0YXVyZW50cyBuZWFyIE9jYWxhLCBGTCwgVVNBWh8iHXJlc3RhdXJhbnRzIG5lYXIgb2NhbGEgZmwgdXNhkgETYW1lcmljYW5fcmVzdGF1cmFudOABAA!16s%2Fg%2F11rs9ls6t4?entry=ttu&amp;g_ep=EgoyMDI1MDIxMi4wIKXMDSoASAFQAw%3D%3D" TargetMode="External"/><Relationship Id="rId10" Type="http://schemas.openxmlformats.org/officeDocument/2006/relationships/hyperlink" Target="https://www.facebook.com/omalleysalley/?_rdr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www.google.com/maps/place/Protein+Social/@29.0816476,-82.4079649,12z/data=!4m11!1m3!2m2!1srestaurents+near+Ocala,+FL,+USA!6e5!3m6!1s0x88e7d52d9906a18f:0x30b538d3e8f0e2aa!8m2!3d29.157925!4d-82.1694972!15sCh9yZXN0YXVyZW50cyBuZWFyIE9jYWxhLCBGTCwgVVNBWh8iHXJlc3RhdXJhbnRzIG5lYXIgb2NhbGEgZmwgdXNhkgEWaGVhbHRoX2Zvb2RfcmVzdGF1cmFudOABAA!16s%2Fg%2F11jyc_g52c?entry=ttu&amp;g_ep=EgoyMDI1MDIxMi4wIKXMDSoASAFQAw%3D%3D" TargetMode="External"/><Relationship Id="rId12" Type="http://schemas.openxmlformats.org/officeDocument/2006/relationships/hyperlink" Target="https://www.facebook.com/p/Mama-Bs-Diner-LLC-100070019017489/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https://www.instagram.com/protein_social_352/?hl=en" TargetMode="External"/><Relationship Id="rId14" Type="http://schemas.openxmlformats.org/officeDocument/2006/relationships/hyperlink" Target="https://www.facebook.com/p/Protein-Social-100088249548093/" TargetMode="External"/><Relationship Id="rId17" Type="http://schemas.openxmlformats.org/officeDocument/2006/relationships/hyperlink" Target="https://www.facebook.com/p/Hacienda-Colombiana-2-Ocala-100063554201319/" TargetMode="External"/><Relationship Id="rId16" Type="http://schemas.openxmlformats.org/officeDocument/2006/relationships/hyperlink" Target="https://www.google.com/maps/place/Hacienda+colombiana+%232/@29.2117497,-82.131439,17z/data=!4m11!1m3!2m2!1srestaurents+near+Ocala,+FL,+USA!6e5!3m6!1s0x88e62c9dc94cf799:0xf9e406c59adbfa00!8m2!3d29.2117497!4d-82.1266754!15sCh9yZXN0YXVyZW50cyBuZWFyIE9jYWxhLCBGTCwgVVNBWh8iHXJlc3RhdXJhbnRzIG5lYXIgb2NhbGEgZmwgdXNhkgEKcmVzdGF1cmFudOABAA!16s%2Fg%2F11c72r36d5?entry=ttu&amp;g_ep=EgoyMDI1MDIxMi4wIKXMDSoASAFQAw%3D%3D" TargetMode="External"/><Relationship Id="rId19" Type="http://schemas.openxmlformats.org/officeDocument/2006/relationships/hyperlink" Target="https://www.facebook.com/p/LPS-BAR-BQ-100054199553580/" TargetMode="External"/><Relationship Id="rId18" Type="http://schemas.openxmlformats.org/officeDocument/2006/relationships/hyperlink" Target="https://www.google.com/maps/place/Lp's+Bar-B-Q/@29.1994878,-82.1498906,17z/data=!4m11!1m3!2m2!1srestaurents+near+Ocala,+FL,+USA!6e5!3m6!1s0x88e62b461bceaaab:0x1d39ff67a3a08510!8m2!3d29.1994878!4d-82.145127!15sCh9yZXN0YXVyZW50cyBuZWFyIE9jYWxhLCBGTCwgVVNBWh8iHXJlc3RhdXJhbnRzIG5lYXIgb2NhbGEgZmwgdXNhkgETYmFyYmVjdWVfcmVzdGF1cmFudOABAA!16s%2Fg%2F11hy9nm9ks?entry=ttu&amp;g_ep=EgoyMDI1MDIxM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29.75"/>
    <col customWidth="1" min="3" max="3" width="38.63"/>
    <col customWidth="1" min="7" max="7" width="60.88"/>
    <col customWidth="1" min="8" max="8" width="13.38"/>
    <col customWidth="1" min="9" max="9" width="12.38"/>
    <col customWidth="1" min="10" max="10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 t="s">
        <v>10</v>
      </c>
      <c r="B2" s="4" t="s">
        <v>11</v>
      </c>
      <c r="C2" s="4" t="s">
        <v>12</v>
      </c>
      <c r="D2" s="4"/>
      <c r="E2" s="4"/>
      <c r="F2" s="4">
        <f>13527323820</f>
        <v>13527323820</v>
      </c>
      <c r="G2" s="5" t="s">
        <v>13</v>
      </c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2.5" customHeight="1">
      <c r="A3" s="4" t="s">
        <v>14</v>
      </c>
      <c r="B3" s="4" t="s">
        <v>15</v>
      </c>
      <c r="C3" s="4"/>
      <c r="D3" s="4"/>
      <c r="E3" s="4"/>
      <c r="F3" s="4" t="s">
        <v>16</v>
      </c>
      <c r="G3" s="5" t="s">
        <v>17</v>
      </c>
      <c r="H3" s="5" t="s">
        <v>18</v>
      </c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22.5" customHeight="1">
      <c r="A4" s="4" t="s">
        <v>19</v>
      </c>
      <c r="B4" s="4" t="s">
        <v>20</v>
      </c>
      <c r="C4" s="4"/>
      <c r="D4" s="4"/>
      <c r="E4" s="4"/>
      <c r="F4" s="4">
        <f>13528778176</f>
        <v>13528778176</v>
      </c>
      <c r="G4" s="5" t="s">
        <v>21</v>
      </c>
      <c r="H4" s="5" t="s">
        <v>22</v>
      </c>
      <c r="I4" s="4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22.5" customHeight="1">
      <c r="A5" s="4" t="s">
        <v>23</v>
      </c>
      <c r="B5" s="4" t="s">
        <v>24</v>
      </c>
      <c r="C5" s="4"/>
      <c r="D5" s="4"/>
      <c r="E5" s="4"/>
      <c r="F5" s="4">
        <f>13523512233</f>
        <v>13523512233</v>
      </c>
      <c r="G5" s="5" t="s">
        <v>25</v>
      </c>
      <c r="H5" s="4"/>
      <c r="I5" s="4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22.5" customHeight="1">
      <c r="A6" s="4" t="s">
        <v>26</v>
      </c>
      <c r="B6" s="4"/>
      <c r="C6" s="4"/>
      <c r="D6" s="4"/>
      <c r="E6" s="4"/>
      <c r="F6" s="4" t="s">
        <v>27</v>
      </c>
      <c r="G6" s="5" t="s">
        <v>28</v>
      </c>
      <c r="H6" s="5" t="s">
        <v>29</v>
      </c>
      <c r="I6" s="4"/>
      <c r="J6" s="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22.5" customHeight="1">
      <c r="A7" s="4" t="s">
        <v>30</v>
      </c>
      <c r="B7" s="4"/>
      <c r="C7" s="4"/>
      <c r="D7" s="4"/>
      <c r="E7" s="4"/>
      <c r="F7" s="4" t="s">
        <v>27</v>
      </c>
      <c r="G7" s="5" t="s">
        <v>31</v>
      </c>
      <c r="H7" s="5" t="s">
        <v>32</v>
      </c>
      <c r="I7" s="4"/>
      <c r="J7" s="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22.5" customHeight="1">
      <c r="A8" s="4" t="s">
        <v>33</v>
      </c>
      <c r="B8" s="4"/>
      <c r="C8" s="4"/>
      <c r="D8" s="4"/>
      <c r="E8" s="4"/>
      <c r="F8" s="4">
        <f>13528578569</f>
        <v>13528578569</v>
      </c>
      <c r="G8" s="5" t="s">
        <v>34</v>
      </c>
      <c r="H8" s="5" t="s">
        <v>35</v>
      </c>
      <c r="I8" s="4"/>
      <c r="J8" s="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22.5" customHeight="1">
      <c r="A9" s="4" t="s">
        <v>36</v>
      </c>
      <c r="B9" s="4"/>
      <c r="C9" s="4"/>
      <c r="D9" s="4"/>
      <c r="E9" s="4"/>
      <c r="F9" s="4">
        <f>13528403790</f>
        <v>13528403790</v>
      </c>
      <c r="G9" s="5" t="s">
        <v>37</v>
      </c>
      <c r="H9" s="5" t="s">
        <v>38</v>
      </c>
      <c r="I9" s="5" t="s">
        <v>39</v>
      </c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22.5" customHeight="1">
      <c r="A10" s="4" t="s">
        <v>40</v>
      </c>
      <c r="B10" s="4"/>
      <c r="C10" s="4"/>
      <c r="D10" s="4"/>
      <c r="E10" s="4"/>
      <c r="F10" s="4">
        <f>19547084834</f>
        <v>19547084834</v>
      </c>
      <c r="G10" s="5" t="s">
        <v>41</v>
      </c>
      <c r="H10" s="5" t="s">
        <v>42</v>
      </c>
      <c r="I10" s="4"/>
      <c r="J10" s="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22.5" customHeight="1">
      <c r="A11" s="4" t="s">
        <v>43</v>
      </c>
      <c r="B11" s="4"/>
      <c r="C11" s="4"/>
      <c r="D11" s="4"/>
      <c r="E11" s="4"/>
      <c r="F11" s="4">
        <f>13525479372</f>
        <v>13525479372</v>
      </c>
      <c r="G11" s="5" t="s">
        <v>44</v>
      </c>
      <c r="H11" s="5" t="s">
        <v>45</v>
      </c>
      <c r="I11" s="4"/>
      <c r="J11" s="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2.5" customHeight="1">
      <c r="A12" s="4" t="s">
        <v>46</v>
      </c>
      <c r="B12" s="4"/>
      <c r="C12" s="4"/>
      <c r="D12" s="4"/>
      <c r="E12" s="4"/>
      <c r="F12" s="4">
        <f>13526715277</f>
        <v>13526715277</v>
      </c>
      <c r="G12" s="5" t="s">
        <v>47</v>
      </c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2.5" customHeight="1">
      <c r="A13" s="4" t="s">
        <v>10</v>
      </c>
      <c r="B13" s="4" t="s">
        <v>11</v>
      </c>
      <c r="C13" s="4" t="s">
        <v>12</v>
      </c>
      <c r="D13" s="4"/>
      <c r="E13" s="4"/>
      <c r="F13" s="4">
        <f>13527323820</f>
        <v>13527323820</v>
      </c>
      <c r="G13" s="5" t="s">
        <v>13</v>
      </c>
      <c r="H13" s="4"/>
      <c r="I13" s="4"/>
      <c r="J13" s="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22.5" customHeight="1">
      <c r="A14" s="4" t="s">
        <v>14</v>
      </c>
      <c r="B14" s="4" t="s">
        <v>15</v>
      </c>
      <c r="C14" s="4"/>
      <c r="D14" s="4"/>
      <c r="E14" s="4"/>
      <c r="F14" s="4" t="s">
        <v>16</v>
      </c>
      <c r="G14" s="5" t="s">
        <v>17</v>
      </c>
      <c r="H14" s="5" t="s">
        <v>18</v>
      </c>
      <c r="I14" s="4"/>
      <c r="J14" s="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22.5" customHeight="1">
      <c r="A15" s="4" t="s">
        <v>19</v>
      </c>
      <c r="B15" s="4" t="s">
        <v>20</v>
      </c>
      <c r="C15" s="4"/>
      <c r="D15" s="7"/>
      <c r="E15" s="4"/>
      <c r="F15" s="4">
        <f>13528778176</f>
        <v>13528778176</v>
      </c>
      <c r="G15" s="5" t="s">
        <v>48</v>
      </c>
      <c r="H15" s="5" t="s">
        <v>22</v>
      </c>
      <c r="I15" s="4"/>
      <c r="J15" s="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22.5" customHeight="1">
      <c r="A16" s="4" t="s">
        <v>23</v>
      </c>
      <c r="B16" s="4" t="s">
        <v>49</v>
      </c>
      <c r="C16" s="4"/>
      <c r="D16" s="7"/>
      <c r="E16" s="4"/>
      <c r="F16" s="4">
        <f>13523512233</f>
        <v>13523512233</v>
      </c>
      <c r="G16" s="5" t="s">
        <v>25</v>
      </c>
      <c r="H16" s="4"/>
      <c r="I16" s="4"/>
      <c r="J16" s="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22.5" customHeight="1">
      <c r="A17" s="4" t="s">
        <v>26</v>
      </c>
      <c r="B17" s="4"/>
      <c r="C17" s="4"/>
      <c r="D17" s="7"/>
      <c r="E17" s="4"/>
      <c r="F17" s="4" t="s">
        <v>27</v>
      </c>
      <c r="G17" s="5" t="s">
        <v>28</v>
      </c>
      <c r="H17" s="5" t="s">
        <v>29</v>
      </c>
      <c r="I17" s="4"/>
      <c r="J17" s="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2.5" customHeight="1">
      <c r="A18" s="4" t="s">
        <v>30</v>
      </c>
      <c r="B18" s="4"/>
      <c r="C18" s="4"/>
      <c r="D18" s="7"/>
      <c r="E18" s="4"/>
      <c r="F18" s="4" t="s">
        <v>27</v>
      </c>
      <c r="G18" s="5" t="s">
        <v>31</v>
      </c>
      <c r="H18" s="5" t="s">
        <v>32</v>
      </c>
      <c r="I18" s="4"/>
      <c r="J18" s="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22.5" customHeight="1">
      <c r="A19" s="4" t="s">
        <v>33</v>
      </c>
      <c r="B19" s="4"/>
      <c r="C19" s="4"/>
      <c r="D19" s="7"/>
      <c r="E19" s="4"/>
      <c r="F19" s="4">
        <f>13528578569</f>
        <v>13528578569</v>
      </c>
      <c r="G19" s="5" t="s">
        <v>34</v>
      </c>
      <c r="H19" s="5" t="s">
        <v>35</v>
      </c>
      <c r="I19" s="4"/>
      <c r="J19" s="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22.5" customHeight="1">
      <c r="A20" s="4" t="s">
        <v>36</v>
      </c>
      <c r="B20" s="4"/>
      <c r="C20" s="4"/>
      <c r="D20" s="7"/>
      <c r="E20" s="4"/>
      <c r="F20" s="4">
        <f>13528403790</f>
        <v>13528403790</v>
      </c>
      <c r="G20" s="5" t="s">
        <v>37</v>
      </c>
      <c r="H20" s="5" t="s">
        <v>38</v>
      </c>
      <c r="I20" s="5" t="s">
        <v>39</v>
      </c>
      <c r="J20" s="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22.5" customHeight="1">
      <c r="A21" s="4" t="s">
        <v>40</v>
      </c>
      <c r="B21" s="4"/>
      <c r="C21" s="4"/>
      <c r="D21" s="7"/>
      <c r="E21" s="4"/>
      <c r="F21" s="4">
        <f>19547084834</f>
        <v>19547084834</v>
      </c>
      <c r="G21" s="5" t="s">
        <v>41</v>
      </c>
      <c r="H21" s="5" t="s">
        <v>42</v>
      </c>
      <c r="I21" s="4"/>
      <c r="J21" s="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22.5" customHeight="1">
      <c r="A22" s="4" t="s">
        <v>43</v>
      </c>
      <c r="B22" s="4"/>
      <c r="C22" s="4"/>
      <c r="D22" s="7"/>
      <c r="E22" s="4"/>
      <c r="F22" s="4">
        <f>13525479372</f>
        <v>13525479372</v>
      </c>
      <c r="G22" s="5" t="s">
        <v>44</v>
      </c>
      <c r="H22" s="5" t="s">
        <v>45</v>
      </c>
      <c r="I22" s="4"/>
      <c r="J22" s="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22.5" customHeight="1">
      <c r="A23" s="4" t="s">
        <v>46</v>
      </c>
      <c r="B23" s="4"/>
      <c r="C23" s="4"/>
      <c r="D23" s="7"/>
      <c r="E23" s="4"/>
      <c r="F23" s="4">
        <f>13526715277</f>
        <v>13526715277</v>
      </c>
      <c r="G23" s="5" t="s">
        <v>47</v>
      </c>
      <c r="H23" s="4"/>
      <c r="I23" s="4"/>
      <c r="J23" s="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22.5" customHeight="1">
      <c r="A24" s="4" t="s">
        <v>50</v>
      </c>
      <c r="B24" s="4"/>
      <c r="C24" s="4" t="s">
        <v>51</v>
      </c>
      <c r="D24" s="7"/>
      <c r="E24" s="4"/>
      <c r="F24" s="4">
        <f>13524141560</f>
        <v>13524141560</v>
      </c>
      <c r="G24" s="5" t="s">
        <v>52</v>
      </c>
      <c r="H24" s="4"/>
      <c r="I24" s="4"/>
      <c r="J24" s="5" t="s">
        <v>53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22.5" customHeight="1">
      <c r="A25" s="4" t="s">
        <v>54</v>
      </c>
      <c r="B25" s="4"/>
      <c r="C25" s="4" t="s">
        <v>51</v>
      </c>
      <c r="D25" s="7"/>
      <c r="E25" s="4"/>
      <c r="F25" s="4">
        <f>13526872354</f>
        <v>13526872354</v>
      </c>
      <c r="G25" s="5" t="s">
        <v>52</v>
      </c>
      <c r="H25" s="4"/>
      <c r="I25" s="4"/>
      <c r="J25" s="5" t="s">
        <v>55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22.5" customHeight="1">
      <c r="A26" s="4" t="s">
        <v>56</v>
      </c>
      <c r="B26" s="4"/>
      <c r="C26" s="4" t="s">
        <v>57</v>
      </c>
      <c r="D26" s="7"/>
      <c r="E26" s="4"/>
      <c r="F26" s="4">
        <f>14079607582</f>
        <v>14079607582</v>
      </c>
      <c r="G26" s="5" t="s">
        <v>58</v>
      </c>
      <c r="H26" s="5" t="s">
        <v>59</v>
      </c>
      <c r="I26" s="5" t="s">
        <v>60</v>
      </c>
      <c r="J26" s="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22.5" customHeight="1">
      <c r="A27" s="4" t="s">
        <v>61</v>
      </c>
      <c r="B27" s="4"/>
      <c r="C27" s="4" t="s">
        <v>57</v>
      </c>
      <c r="D27" s="7"/>
      <c r="E27" s="4"/>
      <c r="F27" s="4">
        <f>14075565444</f>
        <v>14075565444</v>
      </c>
      <c r="G27" s="5" t="s">
        <v>62</v>
      </c>
      <c r="H27" s="5" t="s">
        <v>63</v>
      </c>
      <c r="I27" s="5" t="s">
        <v>64</v>
      </c>
      <c r="J27" s="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22.5" customHeight="1">
      <c r="A28" s="4" t="s">
        <v>65</v>
      </c>
      <c r="B28" s="4"/>
      <c r="C28" s="4" t="s">
        <v>57</v>
      </c>
      <c r="D28" s="7"/>
      <c r="E28" s="4"/>
      <c r="F28" s="4">
        <f>14076710066</f>
        <v>14076710066</v>
      </c>
      <c r="G28" s="5" t="s">
        <v>66</v>
      </c>
      <c r="H28" s="4"/>
      <c r="I28" s="5" t="s">
        <v>67</v>
      </c>
      <c r="J28" s="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22.5" customHeight="1">
      <c r="A29" s="4" t="s">
        <v>68</v>
      </c>
      <c r="B29" s="4"/>
      <c r="C29" s="4" t="s">
        <v>51</v>
      </c>
      <c r="D29" s="7"/>
      <c r="E29" s="4"/>
      <c r="F29" s="4">
        <f>16893121705</f>
        <v>16893121705</v>
      </c>
      <c r="G29" s="5" t="s">
        <v>69</v>
      </c>
      <c r="H29" s="4"/>
      <c r="I29" s="4"/>
      <c r="J29" s="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22.5" customHeight="1">
      <c r="A30" s="4"/>
      <c r="B30" s="4"/>
      <c r="C30" s="4"/>
      <c r="D30" s="7"/>
      <c r="E30" s="4"/>
      <c r="F30" s="4"/>
      <c r="G30" s="4"/>
      <c r="H30" s="4"/>
      <c r="I30" s="4"/>
      <c r="J30" s="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22.5" customHeight="1">
      <c r="A31" s="4"/>
      <c r="B31" s="4"/>
      <c r="C31" s="4"/>
      <c r="D31" s="7"/>
      <c r="E31" s="4"/>
      <c r="F31" s="4"/>
      <c r="G31" s="4"/>
      <c r="H31" s="4"/>
      <c r="I31" s="4"/>
      <c r="J31" s="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22.5" customHeight="1">
      <c r="A32" s="4"/>
      <c r="B32" s="4"/>
      <c r="C32" s="4"/>
      <c r="D32" s="7"/>
      <c r="E32" s="4"/>
      <c r="F32" s="4"/>
      <c r="G32" s="4"/>
      <c r="H32" s="4"/>
      <c r="I32" s="4"/>
      <c r="J32" s="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22.5" customHeight="1">
      <c r="A33" s="4"/>
      <c r="B33" s="4"/>
      <c r="C33" s="4"/>
      <c r="D33" s="7"/>
      <c r="E33" s="4"/>
      <c r="F33" s="4"/>
      <c r="G33" s="4"/>
      <c r="H33" s="4"/>
      <c r="I33" s="4"/>
      <c r="J33" s="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22.5" customHeight="1">
      <c r="A34" s="4"/>
      <c r="B34" s="4"/>
      <c r="C34" s="4"/>
      <c r="D34" s="7"/>
      <c r="E34" s="4"/>
      <c r="F34" s="4"/>
      <c r="G34" s="4"/>
      <c r="H34" s="4"/>
      <c r="I34" s="4"/>
      <c r="J34" s="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22.5" customHeight="1">
      <c r="A35" s="4"/>
      <c r="B35" s="4"/>
      <c r="C35" s="4"/>
      <c r="D35" s="7"/>
      <c r="E35" s="4"/>
      <c r="F35" s="4"/>
      <c r="G35" s="4"/>
      <c r="H35" s="4"/>
      <c r="I35" s="4"/>
      <c r="J35" s="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22.5" customHeight="1">
      <c r="A36" s="4"/>
      <c r="B36" s="4"/>
      <c r="C36" s="4"/>
      <c r="D36" s="7"/>
      <c r="E36" s="4"/>
      <c r="F36" s="4"/>
      <c r="G36" s="4"/>
      <c r="H36" s="4"/>
      <c r="I36" s="4"/>
      <c r="J36" s="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22.5" customHeight="1">
      <c r="A37" s="4"/>
      <c r="B37" s="4"/>
      <c r="C37" s="4"/>
      <c r="D37" s="7"/>
      <c r="E37" s="4"/>
      <c r="F37" s="4"/>
      <c r="G37" s="4"/>
      <c r="H37" s="4"/>
      <c r="I37" s="4"/>
      <c r="J37" s="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22.5" customHeight="1">
      <c r="A38" s="4"/>
      <c r="B38" s="4"/>
      <c r="C38" s="4"/>
      <c r="D38" s="7"/>
      <c r="E38" s="4"/>
      <c r="F38" s="4"/>
      <c r="G38" s="4"/>
      <c r="H38" s="4"/>
      <c r="I38" s="4"/>
      <c r="J38" s="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22.5" customHeight="1">
      <c r="A39" s="4"/>
      <c r="B39" s="4"/>
      <c r="C39" s="4"/>
      <c r="D39" s="7"/>
      <c r="E39" s="4"/>
      <c r="F39" s="4"/>
      <c r="G39" s="4"/>
      <c r="H39" s="4"/>
      <c r="I39" s="4"/>
      <c r="J39" s="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22.5" customHeight="1">
      <c r="A40" s="4"/>
      <c r="B40" s="4"/>
      <c r="C40" s="4"/>
      <c r="D40" s="7"/>
      <c r="E40" s="4"/>
      <c r="F40" s="4"/>
      <c r="G40" s="4"/>
      <c r="H40" s="4"/>
      <c r="I40" s="4"/>
      <c r="J40" s="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22.5" customHeight="1">
      <c r="A41" s="4"/>
      <c r="B41" s="4"/>
      <c r="C41" s="4"/>
      <c r="D41" s="7"/>
      <c r="E41" s="4"/>
      <c r="F41" s="4"/>
      <c r="G41" s="4"/>
      <c r="H41" s="4"/>
      <c r="I41" s="4"/>
      <c r="J41" s="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22.5" customHeight="1">
      <c r="A42" s="4"/>
      <c r="B42" s="4"/>
      <c r="C42" s="4"/>
      <c r="D42" s="7"/>
      <c r="E42" s="4"/>
      <c r="F42" s="4"/>
      <c r="G42" s="4"/>
      <c r="H42" s="4"/>
      <c r="I42" s="4"/>
      <c r="J42" s="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22.5" customHeight="1">
      <c r="A43" s="4"/>
      <c r="B43" s="4"/>
      <c r="C43" s="4"/>
      <c r="D43" s="7"/>
      <c r="E43" s="4"/>
      <c r="F43" s="4"/>
      <c r="G43" s="4"/>
      <c r="H43" s="4"/>
      <c r="I43" s="4"/>
      <c r="J43" s="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22.5" customHeight="1">
      <c r="A44" s="4"/>
      <c r="B44" s="4"/>
      <c r="C44" s="4"/>
      <c r="D44" s="7"/>
      <c r="E44" s="4"/>
      <c r="F44" s="4"/>
      <c r="G44" s="4"/>
      <c r="H44" s="4"/>
      <c r="I44" s="4"/>
      <c r="J44" s="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22.5" customHeight="1">
      <c r="A45" s="4"/>
      <c r="B45" s="4"/>
      <c r="C45" s="4"/>
      <c r="D45" s="7"/>
      <c r="E45" s="4"/>
      <c r="F45" s="4"/>
      <c r="G45" s="4"/>
      <c r="H45" s="4"/>
      <c r="I45" s="4"/>
      <c r="J45" s="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22.5" customHeight="1">
      <c r="A46" s="4"/>
      <c r="B46" s="4"/>
      <c r="C46" s="4"/>
      <c r="D46" s="7"/>
      <c r="E46" s="4"/>
      <c r="F46" s="4"/>
      <c r="G46" s="4"/>
      <c r="H46" s="4"/>
      <c r="I46" s="4"/>
      <c r="J46" s="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22.5" customHeight="1">
      <c r="A47" s="4"/>
      <c r="B47" s="4"/>
      <c r="C47" s="4"/>
      <c r="D47" s="7"/>
      <c r="E47" s="4"/>
      <c r="F47" s="4"/>
      <c r="G47" s="4"/>
      <c r="H47" s="4"/>
      <c r="I47" s="4"/>
      <c r="J47" s="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22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22.5" customHeight="1">
      <c r="A49" s="4"/>
      <c r="B49" s="4"/>
      <c r="C49" s="4"/>
      <c r="D49" s="7"/>
      <c r="E49" s="4"/>
      <c r="F49" s="4"/>
      <c r="G49" s="4"/>
      <c r="H49" s="4"/>
      <c r="I49" s="4"/>
      <c r="J49" s="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22.5" customHeight="1">
      <c r="A50" s="4"/>
      <c r="B50" s="4"/>
      <c r="C50" s="4"/>
      <c r="D50" s="7"/>
      <c r="E50" s="4"/>
      <c r="F50" s="4"/>
      <c r="G50" s="4"/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22.5" customHeight="1">
      <c r="A51" s="4"/>
      <c r="B51" s="4"/>
      <c r="C51" s="4"/>
      <c r="D51" s="7"/>
      <c r="E51" s="4"/>
      <c r="F51" s="4"/>
      <c r="G51" s="4"/>
      <c r="H51" s="4"/>
      <c r="I51" s="4"/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22.5" customHeight="1">
      <c r="A52" s="4"/>
      <c r="B52" s="4"/>
      <c r="C52" s="4"/>
      <c r="D52" s="7"/>
      <c r="E52" s="4"/>
      <c r="F52" s="4"/>
      <c r="G52" s="4"/>
      <c r="H52" s="4"/>
      <c r="I52" s="4"/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22.5" customHeight="1">
      <c r="A53" s="4"/>
      <c r="B53" s="4"/>
      <c r="C53" s="4"/>
      <c r="D53" s="7"/>
      <c r="E53" s="4"/>
      <c r="F53" s="4"/>
      <c r="G53" s="4"/>
      <c r="H53" s="4"/>
      <c r="I53" s="4"/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22.5" customHeight="1">
      <c r="A54" s="4"/>
      <c r="B54" s="4"/>
      <c r="C54" s="4"/>
      <c r="D54" s="7"/>
      <c r="E54" s="4"/>
      <c r="F54" s="4"/>
      <c r="G54" s="4"/>
      <c r="H54" s="4"/>
      <c r="I54" s="4"/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22.5" customHeight="1">
      <c r="A55" s="4"/>
      <c r="B55" s="4"/>
      <c r="C55" s="4"/>
      <c r="D55" s="7"/>
      <c r="E55" s="4"/>
      <c r="F55" s="4"/>
      <c r="G55" s="4"/>
      <c r="H55" s="4"/>
      <c r="I55" s="4"/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22.5" customHeight="1">
      <c r="A56" s="4"/>
      <c r="B56" s="4"/>
      <c r="C56" s="4"/>
      <c r="D56" s="7"/>
      <c r="E56" s="4"/>
      <c r="F56" s="4"/>
      <c r="G56" s="4"/>
      <c r="H56" s="4"/>
      <c r="I56" s="4"/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22.5" customHeight="1">
      <c r="A57" s="4"/>
      <c r="B57" s="4"/>
      <c r="C57" s="4"/>
      <c r="D57" s="7"/>
      <c r="E57" s="4"/>
      <c r="F57" s="4"/>
      <c r="G57" s="4"/>
      <c r="H57" s="4"/>
      <c r="I57" s="4"/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22.5" customHeight="1">
      <c r="A58" s="4"/>
      <c r="B58" s="4"/>
      <c r="C58" s="4"/>
      <c r="D58" s="7"/>
      <c r="E58" s="4"/>
      <c r="F58" s="4"/>
      <c r="G58" s="4"/>
      <c r="H58" s="4"/>
      <c r="I58" s="4"/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22.5" customHeight="1">
      <c r="A59" s="4"/>
      <c r="B59" s="4"/>
      <c r="C59" s="4"/>
      <c r="D59" s="7"/>
      <c r="E59" s="4"/>
      <c r="F59" s="4"/>
      <c r="G59" s="4"/>
      <c r="H59" s="4"/>
      <c r="I59" s="4"/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22.5" customHeight="1">
      <c r="A60" s="4"/>
      <c r="B60" s="4"/>
      <c r="C60" s="4"/>
      <c r="D60" s="7"/>
      <c r="E60" s="4"/>
      <c r="F60" s="4"/>
      <c r="G60" s="4"/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22.5" customHeight="1">
      <c r="A61" s="4"/>
      <c r="B61" s="4"/>
      <c r="C61" s="4"/>
      <c r="D61" s="7"/>
      <c r="E61" s="4"/>
      <c r="F61" s="4"/>
      <c r="G61" s="4"/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22.5" customHeight="1">
      <c r="A62" s="4"/>
      <c r="B62" s="4"/>
      <c r="C62" s="4"/>
      <c r="D62" s="7"/>
      <c r="E62" s="4"/>
      <c r="F62" s="4"/>
      <c r="G62" s="4"/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22.5" customHeight="1">
      <c r="A63" s="4"/>
      <c r="B63" s="4"/>
      <c r="C63" s="4"/>
      <c r="D63" s="7"/>
      <c r="E63" s="4"/>
      <c r="F63" s="4"/>
      <c r="G63" s="4"/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22.5" customHeight="1">
      <c r="A64" s="4"/>
      <c r="B64" s="4"/>
      <c r="C64" s="4"/>
      <c r="D64" s="7"/>
      <c r="E64" s="4"/>
      <c r="F64" s="4"/>
      <c r="G64" s="4"/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22.5" customHeight="1">
      <c r="A65" s="4"/>
      <c r="B65" s="4"/>
      <c r="C65" s="4"/>
      <c r="D65" s="7"/>
      <c r="E65" s="4"/>
      <c r="F65" s="4"/>
      <c r="G65" s="4"/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22.5" customHeight="1">
      <c r="A66" s="4"/>
      <c r="B66" s="4"/>
      <c r="C66" s="4"/>
      <c r="D66" s="7"/>
      <c r="E66" s="4"/>
      <c r="F66" s="4"/>
      <c r="G66" s="4"/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22.5" customHeight="1">
      <c r="A67" s="4"/>
      <c r="B67" s="4"/>
      <c r="C67" s="4"/>
      <c r="D67" s="7"/>
      <c r="E67" s="4"/>
      <c r="F67" s="4"/>
      <c r="G67" s="4"/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22.5" customHeight="1">
      <c r="A68" s="4"/>
      <c r="B68" s="4"/>
      <c r="C68" s="4"/>
      <c r="D68" s="7"/>
      <c r="E68" s="4"/>
      <c r="F68" s="4"/>
      <c r="G68" s="4"/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22.5" customHeight="1">
      <c r="A69" s="4"/>
      <c r="B69" s="4"/>
      <c r="C69" s="4"/>
      <c r="D69" s="7"/>
      <c r="E69" s="4"/>
      <c r="F69" s="4"/>
      <c r="G69" s="4"/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22.5" customHeight="1">
      <c r="A70" s="4"/>
      <c r="B70" s="4"/>
      <c r="C70" s="4"/>
      <c r="D70" s="7"/>
      <c r="E70" s="4"/>
      <c r="F70" s="4"/>
      <c r="G70" s="4"/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22.5" customHeight="1">
      <c r="A71" s="4"/>
      <c r="B71" s="4"/>
      <c r="C71" s="4"/>
      <c r="D71" s="7"/>
      <c r="E71" s="4"/>
      <c r="F71" s="4"/>
      <c r="G71" s="4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22.5" customHeight="1">
      <c r="A72" s="4"/>
      <c r="B72" s="4"/>
      <c r="C72" s="4"/>
      <c r="D72" s="7"/>
      <c r="E72" s="4"/>
      <c r="F72" s="4"/>
      <c r="G72" s="4"/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22.5" customHeight="1">
      <c r="A73" s="4"/>
      <c r="B73" s="4"/>
      <c r="C73" s="4"/>
      <c r="D73" s="7"/>
      <c r="E73" s="4"/>
      <c r="F73" s="4"/>
      <c r="G73" s="4"/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22.5" customHeight="1">
      <c r="A74" s="4"/>
      <c r="B74" s="4"/>
      <c r="C74" s="4"/>
      <c r="D74" s="7"/>
      <c r="E74" s="4"/>
      <c r="F74" s="4"/>
      <c r="G74" s="4"/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22.5" customHeight="1">
      <c r="A75" s="4"/>
      <c r="B75" s="4"/>
      <c r="C75" s="4"/>
      <c r="D75" s="7"/>
      <c r="E75" s="4"/>
      <c r="F75" s="4"/>
      <c r="G75" s="4"/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22.5" customHeight="1">
      <c r="A76" s="4"/>
      <c r="B76" s="4"/>
      <c r="C76" s="4"/>
      <c r="D76" s="7"/>
      <c r="E76" s="4"/>
      <c r="F76" s="4"/>
      <c r="G76" s="4"/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22.5" customHeight="1">
      <c r="A77" s="4"/>
      <c r="B77" s="4"/>
      <c r="C77" s="4"/>
      <c r="D77" s="7"/>
      <c r="E77" s="4"/>
      <c r="F77" s="4"/>
      <c r="G77" s="4"/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22.5" customHeight="1">
      <c r="A78" s="4"/>
      <c r="B78" s="4"/>
      <c r="C78" s="4"/>
      <c r="D78" s="7"/>
      <c r="E78" s="4"/>
      <c r="F78" s="4"/>
      <c r="G78" s="4"/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22.5" customHeight="1">
      <c r="A79" s="4"/>
      <c r="B79" s="4"/>
      <c r="C79" s="4"/>
      <c r="D79" s="7"/>
      <c r="E79" s="4"/>
      <c r="F79" s="4"/>
      <c r="G79" s="4"/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22.5" customHeight="1">
      <c r="A80" s="4"/>
      <c r="B80" s="4"/>
      <c r="C80" s="4"/>
      <c r="D80" s="7"/>
      <c r="E80" s="4"/>
      <c r="F80" s="4"/>
      <c r="G80" s="4"/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22.5" customHeight="1">
      <c r="A81" s="4"/>
      <c r="B81" s="4"/>
      <c r="C81" s="4"/>
      <c r="D81" s="7"/>
      <c r="E81" s="4"/>
      <c r="F81" s="4"/>
      <c r="G81" s="4"/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22.5" customHeight="1">
      <c r="A82" s="4"/>
      <c r="B82" s="4"/>
      <c r="C82" s="4"/>
      <c r="D82" s="7"/>
      <c r="E82" s="4"/>
      <c r="F82" s="4"/>
      <c r="G82" s="4"/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22.5" customHeight="1">
      <c r="A83" s="4"/>
      <c r="B83" s="4"/>
      <c r="C83" s="4"/>
      <c r="D83" s="7"/>
      <c r="E83" s="4"/>
      <c r="F83" s="4"/>
      <c r="G83" s="4"/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22.5" customHeight="1">
      <c r="A84" s="4"/>
      <c r="B84" s="4"/>
      <c r="C84" s="4"/>
      <c r="D84" s="7"/>
      <c r="E84" s="4"/>
      <c r="F84" s="4"/>
      <c r="G84" s="4"/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22.5" customHeight="1">
      <c r="A85" s="4"/>
      <c r="B85" s="4"/>
      <c r="C85" s="4"/>
      <c r="D85" s="7"/>
      <c r="E85" s="4"/>
      <c r="F85" s="4"/>
      <c r="G85" s="4"/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</sheetData>
  <hyperlinks>
    <hyperlink r:id="rId1" ref="G2"/>
    <hyperlink r:id="rId2" ref="G3"/>
    <hyperlink r:id="rId3" ref="H3"/>
    <hyperlink r:id="rId4" ref="G4"/>
    <hyperlink r:id="rId5" ref="H4"/>
    <hyperlink r:id="rId6" ref="G5"/>
    <hyperlink r:id="rId7" ref="G6"/>
    <hyperlink r:id="rId8" ref="H6"/>
    <hyperlink r:id="rId9" ref="G7"/>
    <hyperlink r:id="rId10" ref="H7"/>
    <hyperlink r:id="rId11" ref="G8"/>
    <hyperlink r:id="rId12" ref="H8"/>
    <hyperlink r:id="rId13" ref="G9"/>
    <hyperlink r:id="rId14" ref="H9"/>
    <hyperlink r:id="rId15" ref="I9"/>
    <hyperlink r:id="rId16" ref="G10"/>
    <hyperlink r:id="rId17" ref="H10"/>
    <hyperlink r:id="rId18" ref="G11"/>
    <hyperlink r:id="rId19" ref="H11"/>
    <hyperlink r:id="rId20" ref="G12"/>
    <hyperlink r:id="rId21" ref="G13"/>
    <hyperlink r:id="rId22" ref="G14"/>
    <hyperlink r:id="rId23" ref="H14"/>
    <hyperlink r:id="rId24" ref="G15"/>
    <hyperlink r:id="rId25" ref="H15"/>
    <hyperlink r:id="rId26" ref="G16"/>
    <hyperlink r:id="rId27" ref="G17"/>
    <hyperlink r:id="rId28" ref="H17"/>
    <hyperlink r:id="rId29" ref="G18"/>
    <hyperlink r:id="rId30" ref="H18"/>
    <hyperlink r:id="rId31" ref="G19"/>
    <hyperlink r:id="rId32" ref="H19"/>
    <hyperlink r:id="rId33" ref="G20"/>
    <hyperlink r:id="rId34" ref="H20"/>
    <hyperlink r:id="rId35" ref="I20"/>
    <hyperlink r:id="rId36" ref="G21"/>
    <hyperlink r:id="rId37" ref="H21"/>
    <hyperlink r:id="rId38" ref="G22"/>
    <hyperlink r:id="rId39" ref="H22"/>
    <hyperlink r:id="rId40" ref="G23"/>
    <hyperlink r:id="rId41" ref="G24"/>
    <hyperlink r:id="rId42" ref="J24"/>
    <hyperlink r:id="rId43" ref="G25"/>
    <hyperlink r:id="rId44" ref="J25"/>
    <hyperlink r:id="rId45" ref="G26"/>
    <hyperlink r:id="rId46" ref="H26"/>
    <hyperlink r:id="rId47" ref="I26"/>
    <hyperlink r:id="rId48" ref="G27"/>
    <hyperlink r:id="rId49" ref="H27"/>
    <hyperlink r:id="rId50" ref="I27"/>
    <hyperlink r:id="rId51" ref="G28"/>
    <hyperlink r:id="rId52" ref="I28"/>
    <hyperlink r:id="rId53" ref="G29"/>
  </hyperlinks>
  <drawing r:id="rId54"/>
  <tableParts count="1">
    <tablePart r:id="rId56"/>
  </tableParts>
</worksheet>
</file>